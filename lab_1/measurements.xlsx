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fe7d54ca5643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locks" sheetId="1" r:id="R5255778dd580459b"/>
    <x:sheet xmlns:r="http://schemas.openxmlformats.org/officeDocument/2006/relationships" name="Summary" sheetId="2" r:id="R77dea98942f04ab1"/>
    <x:sheet xmlns:r="http://schemas.openxmlformats.org/officeDocument/2006/relationships" name="Method" sheetId="3" r:id="R2f8a8365d1ba46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0F766E"/>
      </x:patternFill>
    </x:fill>
    <x:fill>
      <x:patternFill patternType="solid">
        <x:fgColor rgb="E2E8F0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236884e62f46fa" /><Relationship Type="http://schemas.openxmlformats.org/officeDocument/2006/relationships/theme" Target="/xl/theme/theme1.xml" Id="Rbe1d10dd45774447" /><Relationship Type="http://schemas.openxmlformats.org/officeDocument/2006/relationships/sharedStrings" Target="/xl/sharedStrings.xml" Id="R767b77976ea24218" /><Relationship Type="http://schemas.openxmlformats.org/officeDocument/2006/relationships/worksheet" Target="/xl/worksheets/sheet1.xml" Id="R5255778dd580459b" /><Relationship Type="http://schemas.openxmlformats.org/officeDocument/2006/relationships/worksheet" Target="/xl/worksheets/sheet2.xml" Id="R77dea98942f04ab1" /><Relationship Type="http://schemas.openxmlformats.org/officeDocument/2006/relationships/worksheet" Target="/xl/worksheets/sheet3.xml" Id="R2f8a8365d1ba46c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2601747bf5a4f08" /><Relationship Type="http://schemas.openxmlformats.org/officeDocument/2006/relationships/chart" Target="/xl/drawings/charts/chart2.xml" Id="R34ba512ff9654bf4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Gray mean</c:v>
          </c:tx>
          <c:cat>
            <c:strRef>
              <c:f>'Summary'!$A$11:$A$14</c:f>
              <c:strCache>
                <c:ptCount val="0"/>
              </c:strCache>
            </c:strRef>
          </c:cat>
          <c:val>
            <c:numRef>
              <c:f>'Summary'!$I$11:$I$14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Gray variance</c:v>
          </c:tx>
          <c:cat>
            <c:strRef>
              <c:f>'Summary'!$A$11:$A$14</c:f>
              <c:strCache>
                <c:ptCount val="0"/>
              </c:strCache>
            </c:strRef>
          </c:cat>
          <c:val>
            <c:numRef>
              <c:f>'Summary'!$J$11:$J$14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1</xdr:row>
      <xdr:rowOff>0</xdr:rowOff>
    </xdr:from>
    <xdr:to>
      <xdr:col>20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2601747bf5a4f08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20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4ba512ff9654bf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lockMeasurements" displayName="BlockMeasurements" ref="A1:H49" headerRowCount="1">
  <x:tableColumns count="8">
    <x:tableColumn id="1" name="Тип поверхности"/>
    <x:tableColumn id="2" name="№ блока"/>
    <x:tableColumn id="3" name="X"/>
    <x:tableColumn id="4" name="Y"/>
    <x:tableColumn id="5" name="Red"/>
    <x:tableColumn id="6" name="Green"/>
    <x:tableColumn id="7" name="Blue"/>
    <x:tableColumn id="8" name="Gray"/>
  </x:tableColumns>
  <x:tableStyleInfo name="TableStyleMedium2" showRowStripes="1"/>
</x:table>
</file>

<file path=xl/tables/table2.xml><?xml version="1.0" encoding="utf-8"?>
<x:table xmlns:x="http://schemas.openxmlformats.org/spreadsheetml/2006/main" id="2" name="SummaryStatistics" displayName="SummaryStatistics" ref="A1:J5" headerRowCount="1">
  <x:tableColumns count="10">
    <x:tableColumn id="1" name="Тип поверхности"/>
    <x:tableColumn id="2" name="N"/>
    <x:tableColumn id="3" name="R среднее"/>
    <x:tableColumn id="4" name="R дисперсия"/>
    <x:tableColumn id="5" name="G среднее"/>
    <x:tableColumn id="6" name="G дисперсия"/>
    <x:tableColumn id="7" name="B среднее"/>
    <x:tableColumn id="8" name="B дисперсия"/>
    <x:tableColumn id="9" name="Gray среднее"/>
    <x:tableColumn id="10" name="Gray дисперсия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68236aecbe2433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445ca2c62c4b487a" /><Relationship Type="http://schemas.openxmlformats.org/officeDocument/2006/relationships/table" Target="/xl/tables/table2.xml" Id="R88204664ff854227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10" hidden="0" customWidth="1"/>
    <x:col min="4" max="4" width="10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5" t="str">
        <x:v>Тип поверхности</x:v>
      </x:c>
      <x:c r="B1" s="5" t="str">
        <x:v>№ блока</x:v>
      </x:c>
      <x:c r="C1" s="5" t="str">
        <x:v>X</x:v>
      </x:c>
      <x:c r="D1" s="5" t="str">
        <x:v>Y</x:v>
      </x:c>
      <x:c r="E1" s="5" t="str">
        <x:v>Red</x:v>
      </x:c>
      <x:c r="F1" s="5" t="str">
        <x:v>Green</x:v>
      </x:c>
      <x:c r="G1" s="5" t="str">
        <x:v>Blue</x:v>
      </x:c>
      <x:c r="H1" s="5" t="str">
        <x:v>Gray</x:v>
      </x:c>
    </x:row>
    <x:row r="2">
      <x:c r="A2" s="10" t="str">
        <x:v>Дорога</x:v>
      </x:c>
      <x:c r="B2" s="10" t="n">
        <x:v>1</x:v>
      </x:c>
      <x:c r="C2" s="10" t="n">
        <x:v>260</x:v>
      </x:c>
      <x:c r="D2" s="10" t="n">
        <x:v>120</x:v>
      </x:c>
      <x:c r="E2" s="10" t="n">
        <x:v>155.901</x:v>
      </x:c>
      <x:c r="F2" s="10" t="n">
        <x:v>153.275</x:v>
      </x:c>
      <x:c r="G2" s="10" t="n">
        <x:v>105</x:v>
      </x:c>
      <x:c r="H2" s="10" t="n">
        <x:v>148.557</x:v>
      </x:c>
    </x:row>
    <x:row r="3">
      <x:c r="A3" s="10" t="str">
        <x:v>Дорога</x:v>
      </x:c>
      <x:c r="B3" s="10" t="n">
        <x:v>2</x:v>
      </x:c>
      <x:c r="C3" s="10" t="n">
        <x:v>285</x:v>
      </x:c>
      <x:c r="D3" s="10" t="n">
        <x:v>230</x:v>
      </x:c>
      <x:c r="E3" s="10" t="n">
        <x:v>172.019</x:v>
      </x:c>
      <x:c r="F3" s="10" t="n">
        <x:v>169.639</x:v>
      </x:c>
      <x:c r="G3" s="10" t="n">
        <x:v>119.586</x:v>
      </x:c>
      <x:c r="H3" s="10" t="n">
        <x:v>164.644</x:v>
      </x:c>
    </x:row>
    <x:row r="4">
      <x:c r="A4" s="10" t="str">
        <x:v>Дорога</x:v>
      </x:c>
      <x:c r="B4" s="10" t="n">
        <x:v>3</x:v>
      </x:c>
      <x:c r="C4" s="10" t="n">
        <x:v>255</x:v>
      </x:c>
      <x:c r="D4" s="10" t="n">
        <x:v>340</x:v>
      </x:c>
      <x:c r="E4" s="10" t="n">
        <x:v>172.191</x:v>
      </x:c>
      <x:c r="F4" s="10" t="n">
        <x:v>169.127</x:v>
      </x:c>
      <x:c r="G4" s="10" t="n">
        <x:v>119.75</x:v>
      </x:c>
      <x:c r="H4" s="10" t="n">
        <x:v>164.414</x:v>
      </x:c>
    </x:row>
    <x:row r="5">
      <x:c r="A5" s="10" t="str">
        <x:v>Дорога</x:v>
      </x:c>
      <x:c r="B5" s="10" t="n">
        <x:v>4</x:v>
      </x:c>
      <x:c r="C5" s="10" t="n">
        <x:v>285</x:v>
      </x:c>
      <x:c r="D5" s="10" t="n">
        <x:v>455</x:v>
      </x:c>
      <x:c r="E5" s="10" t="n">
        <x:v>182.327</x:v>
      </x:c>
      <x:c r="F5" s="10" t="n">
        <x:v>178.688</x:v>
      </x:c>
      <x:c r="G5" s="10" t="n">
        <x:v>130.349</x:v>
      </x:c>
      <x:c r="H5" s="10" t="n">
        <x:v>174.266</x:v>
      </x:c>
    </x:row>
    <x:row r="6">
      <x:c r="A6" s="10" t="str">
        <x:v>Дорога</x:v>
      </x:c>
      <x:c r="B6" s="10" t="n">
        <x:v>5</x:v>
      </x:c>
      <x:c r="C6" s="10" t="n">
        <x:v>260</x:v>
      </x:c>
      <x:c r="D6" s="10" t="n">
        <x:v>570</x:v>
      </x:c>
      <x:c r="E6" s="10" t="n">
        <x:v>181.426</x:v>
      </x:c>
      <x:c r="F6" s="10" t="n">
        <x:v>175.756</x:v>
      </x:c>
      <x:c r="G6" s="10" t="n">
        <x:v>127.065</x:v>
      </x:c>
      <x:c r="H6" s="10" t="n">
        <x:v>171.901</x:v>
      </x:c>
    </x:row>
    <x:row r="7">
      <x:c r="A7" s="10" t="str">
        <x:v>Дорога</x:v>
      </x:c>
      <x:c r="B7" s="10" t="n">
        <x:v>6</x:v>
      </x:c>
      <x:c r="C7" s="10" t="n">
        <x:v>290</x:v>
      </x:c>
      <x:c r="D7" s="10" t="n">
        <x:v>690</x:v>
      </x:c>
      <x:c r="E7" s="10" t="n">
        <x:v>190.176</x:v>
      </x:c>
      <x:c r="F7" s="10" t="n">
        <x:v>183.627</x:v>
      </x:c>
      <x:c r="G7" s="10" t="n">
        <x:v>135.253</x:v>
      </x:c>
      <x:c r="H7" s="10" t="n">
        <x:v>180.07</x:v>
      </x:c>
    </x:row>
    <x:row r="8">
      <x:c r="A8" s="10" t="str">
        <x:v>Дорога</x:v>
      </x:c>
      <x:c r="B8" s="10" t="n">
        <x:v>7</x:v>
      </x:c>
      <x:c r="C8" s="10" t="n">
        <x:v>260</x:v>
      </x:c>
      <x:c r="D8" s="10" t="n">
        <x:v>820</x:v>
      </x:c>
      <x:c r="E8" s="10" t="n">
        <x:v>179.583</x:v>
      </x:c>
      <x:c r="F8" s="10" t="n">
        <x:v>167.472</x:v>
      </x:c>
      <x:c r="G8" s="10" t="n">
        <x:v>118.66</x:v>
      </x:c>
      <x:c r="H8" s="10" t="n">
        <x:v>165.529</x:v>
      </x:c>
    </x:row>
    <x:row r="9">
      <x:c r="A9" s="10" t="str">
        <x:v>Дорога</x:v>
      </x:c>
      <x:c r="B9" s="10" t="n">
        <x:v>8</x:v>
      </x:c>
      <x:c r="C9" s="10" t="n">
        <x:v>285</x:v>
      </x:c>
      <x:c r="D9" s="10" t="n">
        <x:v>940</x:v>
      </x:c>
      <x:c r="E9" s="10" t="n">
        <x:v>189.241</x:v>
      </x:c>
      <x:c r="F9" s="10" t="n">
        <x:v>180.457</x:v>
      </x:c>
      <x:c r="G9" s="10" t="n">
        <x:v>134.306</x:v>
      </x:c>
      <x:c r="H9" s="10" t="n">
        <x:v>177.822</x:v>
      </x:c>
    </x:row>
    <x:row r="10">
      <x:c r="A10" s="10" t="str">
        <x:v>Дорога</x:v>
      </x:c>
      <x:c r="B10" s="10" t="n">
        <x:v>9</x:v>
      </x:c>
      <x:c r="C10" s="10" t="n">
        <x:v>255</x:v>
      </x:c>
      <x:c r="D10" s="10" t="n">
        <x:v>1060</x:v>
      </x:c>
      <x:c r="E10" s="10" t="n">
        <x:v>144.472</x:v>
      </x:c>
      <x:c r="F10" s="10" t="n">
        <x:v>132.707</x:v>
      </x:c>
      <x:c r="G10" s="10" t="n">
        <x:v>88.759</x:v>
      </x:c>
      <x:c r="H10" s="10" t="n">
        <x:v>131.215</x:v>
      </x:c>
    </x:row>
    <x:row r="11">
      <x:c r="A11" s="10" t="str">
        <x:v>Дорога</x:v>
      </x:c>
      <x:c r="B11" s="10" t="n">
        <x:v>10</x:v>
      </x:c>
      <x:c r="C11" s="10" t="n">
        <x:v>285</x:v>
      </x:c>
      <x:c r="D11" s="10" t="n">
        <x:v>1180</x:v>
      </x:c>
      <x:c r="E11" s="10" t="n">
        <x:v>183.833</x:v>
      </x:c>
      <x:c r="F11" s="10" t="n">
        <x:v>173.648</x:v>
      </x:c>
      <x:c r="G11" s="10" t="n">
        <x:v>126.614</x:v>
      </x:c>
      <x:c r="H11" s="10" t="n">
        <x:v>171.332</x:v>
      </x:c>
    </x:row>
    <x:row r="12">
      <x:c r="A12" s="10" t="str">
        <x:v>Дорога</x:v>
      </x:c>
      <x:c r="B12" s="10" t="n">
        <x:v>11</x:v>
      </x:c>
      <x:c r="C12" s="10" t="n">
        <x:v>260</x:v>
      </x:c>
      <x:c r="D12" s="10" t="n">
        <x:v>1300</x:v>
      </x:c>
      <x:c r="E12" s="10" t="n">
        <x:v>165.488</x:v>
      </x:c>
      <x:c r="F12" s="10" t="n">
        <x:v>149.821</x:v>
      </x:c>
      <x:c r="G12" s="10" t="n">
        <x:v>105.432</x:v>
      </x:c>
      <x:c r="H12" s="10" t="n">
        <x:v>149.445</x:v>
      </x:c>
    </x:row>
    <x:row r="13">
      <x:c r="A13" s="10" t="str">
        <x:v>Дорога</x:v>
      </x:c>
      <x:c r="B13" s="10" t="n">
        <x:v>12</x:v>
      </x:c>
      <x:c r="C13" s="10" t="n">
        <x:v>290</x:v>
      </x:c>
      <x:c r="D13" s="10" t="n">
        <x:v>1410</x:v>
      </x:c>
      <x:c r="E13" s="10" t="n">
        <x:v>170.262</x:v>
      </x:c>
      <x:c r="F13" s="10" t="n">
        <x:v>153.259</x:v>
      </x:c>
      <x:c r="G13" s="10" t="n">
        <x:v>110.867</x:v>
      </x:c>
      <x:c r="H13" s="10" t="n">
        <x:v>153.51</x:v>
      </x:c>
    </x:row>
    <x:row r="14">
      <x:c r="A14" s="10" t="str">
        <x:v>Трава</x:v>
      </x:c>
      <x:c r="B14" s="10" t="n">
        <x:v>1</x:v>
      </x:c>
      <x:c r="C14" s="10" t="n">
        <x:v>525</x:v>
      </x:c>
      <x:c r="D14" s="10" t="n">
        <x:v>120</x:v>
      </x:c>
      <x:c r="E14" s="10" t="n">
        <x:v>103.201</x:v>
      </x:c>
      <x:c r="F14" s="10" t="n">
        <x:v>112.907</x:v>
      </x:c>
      <x:c r="G14" s="10" t="n">
        <x:v>59.253</x:v>
      </x:c>
      <x:c r="H14" s="10" t="n">
        <x:v>103.888</x:v>
      </x:c>
    </x:row>
    <x:row r="15">
      <x:c r="A15" s="10" t="str">
        <x:v>Трава</x:v>
      </x:c>
      <x:c r="B15" s="10" t="n">
        <x:v>2</x:v>
      </x:c>
      <x:c r="C15" s="10" t="n">
        <x:v>560</x:v>
      </x:c>
      <x:c r="D15" s="10" t="n">
        <x:v>235</x:v>
      </x:c>
      <x:c r="E15" s="10" t="n">
        <x:v>116.981</x:v>
      </x:c>
      <x:c r="F15" s="10" t="n">
        <x:v>118.12</x:v>
      </x:c>
      <x:c r="G15" s="10" t="n">
        <x:v>67.605</x:v>
      </x:c>
      <x:c r="H15" s="10" t="n">
        <x:v>112.021</x:v>
      </x:c>
    </x:row>
    <x:row r="16">
      <x:c r="A16" s="10" t="str">
        <x:v>Трава</x:v>
      </x:c>
      <x:c r="B16" s="10" t="n">
        <x:v>3</x:v>
      </x:c>
      <x:c r="C16" s="10" t="n">
        <x:v>535</x:v>
      </x:c>
      <x:c r="D16" s="10" t="n">
        <x:v>350</x:v>
      </x:c>
      <x:c r="E16" s="10" t="n">
        <x:v>110.84</x:v>
      </x:c>
      <x:c r="F16" s="10" t="n">
        <x:v>116.843</x:v>
      </x:c>
      <x:c r="G16" s="10" t="n">
        <x:v>63.926</x:v>
      </x:c>
      <x:c r="H16" s="10" t="n">
        <x:v>109.015</x:v>
      </x:c>
    </x:row>
    <x:row r="17">
      <x:c r="A17" s="10" t="str">
        <x:v>Трава</x:v>
      </x:c>
      <x:c r="B17" s="10" t="n">
        <x:v>4</x:v>
      </x:c>
      <x:c r="C17" s="10" t="n">
        <x:v>575</x:v>
      </x:c>
      <x:c r="D17" s="10" t="n">
        <x:v>480</x:v>
      </x:c>
      <x:c r="E17" s="10" t="n">
        <x:v>127.577</x:v>
      </x:c>
      <x:c r="F17" s="10" t="n">
        <x:v>127.191</x:v>
      </x:c>
      <x:c r="G17" s="10" t="n">
        <x:v>78.352</x:v>
      </x:c>
      <x:c r="H17" s="10" t="n">
        <x:v>121.739</x:v>
      </x:c>
    </x:row>
    <x:row r="18">
      <x:c r="A18" s="10" t="str">
        <x:v>Трава</x:v>
      </x:c>
      <x:c r="B18" s="10" t="n">
        <x:v>5</x:v>
      </x:c>
      <x:c r="C18" s="10" t="n">
        <x:v>520</x:v>
      </x:c>
      <x:c r="D18" s="10" t="n">
        <x:v>610</x:v>
      </x:c>
      <x:c r="E18" s="10" t="n">
        <x:v>131.466</x:v>
      </x:c>
      <x:c r="F18" s="10" t="n">
        <x:v>127.938</x:v>
      </x:c>
      <x:c r="G18" s="10" t="n">
        <x:v>74.685</x:v>
      </x:c>
      <x:c r="H18" s="10" t="n">
        <x:v>122.922</x:v>
      </x:c>
    </x:row>
    <x:row r="19">
      <x:c r="A19" s="10" t="str">
        <x:v>Трава</x:v>
      </x:c>
      <x:c r="B19" s="10" t="n">
        <x:v>6</x:v>
      </x:c>
      <x:c r="C19" s="10" t="n">
        <x:v>565</x:v>
      </x:c>
      <x:c r="D19" s="10" t="n">
        <x:v>720</x:v>
      </x:c>
      <x:c r="E19" s="10" t="n">
        <x:v>133.611</x:v>
      </x:c>
      <x:c r="F19" s="10" t="n">
        <x:v>124.957</x:v>
      </x:c>
      <x:c r="G19" s="10" t="n">
        <x:v>76.836</x:v>
      </x:c>
      <x:c r="H19" s="10" t="n">
        <x:v>122.059</x:v>
      </x:c>
    </x:row>
    <x:row r="20">
      <x:c r="A20" s="10" t="str">
        <x:v>Трава</x:v>
      </x:c>
      <x:c r="B20" s="10" t="n">
        <x:v>7</x:v>
      </x:c>
      <x:c r="C20" s="10" t="n">
        <x:v>530</x:v>
      </x:c>
      <x:c r="D20" s="10" t="n">
        <x:v>850</x:v>
      </x:c>
      <x:c r="E20" s="10" t="n">
        <x:v>128.944</x:v>
      </x:c>
      <x:c r="F20" s="10" t="n">
        <x:v>124.086</x:v>
      </x:c>
      <x:c r="G20" s="10" t="n">
        <x:v>71.034</x:v>
      </x:c>
      <x:c r="H20" s="10" t="n">
        <x:v>119.491</x:v>
      </x:c>
    </x:row>
    <x:row r="21">
      <x:c r="A21" s="10" t="str">
        <x:v>Трава</x:v>
      </x:c>
      <x:c r="B21" s="10" t="n">
        <x:v>8</x:v>
      </x:c>
      <x:c r="C21" s="10" t="n">
        <x:v>575</x:v>
      </x:c>
      <x:c r="D21" s="10" t="n">
        <x:v>975</x:v>
      </x:c>
      <x:c r="E21" s="10" t="n">
        <x:v>124.954</x:v>
      </x:c>
      <x:c r="F21" s="10" t="n">
        <x:v>118.948</x:v>
      </x:c>
      <x:c r="G21" s="10" t="n">
        <x:v>67.441</x:v>
      </x:c>
      <x:c r="H21" s="10" t="n">
        <x:v>114.872</x:v>
      </x:c>
    </x:row>
    <x:row r="22">
      <x:c r="A22" s="10" t="str">
        <x:v>Трава</x:v>
      </x:c>
      <x:c r="B22" s="10" t="n">
        <x:v>9</x:v>
      </x:c>
      <x:c r="C22" s="10" t="n">
        <x:v>520</x:v>
      </x:c>
      <x:c r="D22" s="10" t="n">
        <x:v>1105</x:v>
      </x:c>
      <x:c r="E22" s="10" t="n">
        <x:v>132.355</x:v>
      </x:c>
      <x:c r="F22" s="10" t="n">
        <x:v>128.957</x:v>
      </x:c>
      <x:c r="G22" s="10" t="n">
        <x:v>72.71</x:v>
      </x:c>
      <x:c r="H22" s="10" t="n">
        <x:v>123.561</x:v>
      </x:c>
    </x:row>
    <x:row r="23">
      <x:c r="A23" s="10" t="str">
        <x:v>Трава</x:v>
      </x:c>
      <x:c r="B23" s="10" t="n">
        <x:v>10</x:v>
      </x:c>
      <x:c r="C23" s="10" t="n">
        <x:v>565</x:v>
      </x:c>
      <x:c r="D23" s="10" t="n">
        <x:v>1230</x:v>
      </x:c>
      <x:c r="E23" s="10" t="n">
        <x:v>128.287</x:v>
      </x:c>
      <x:c r="F23" s="10" t="n">
        <x:v>119.333</x:v>
      </x:c>
      <x:c r="G23" s="10" t="n">
        <x:v>71.963</x:v>
      </x:c>
      <x:c r="H23" s="10" t="n">
        <x:v>116.61</x:v>
      </x:c>
    </x:row>
    <x:row r="24">
      <x:c r="A24" s="10" t="str">
        <x:v>Трава</x:v>
      </x:c>
      <x:c r="B24" s="10" t="n">
        <x:v>11</x:v>
      </x:c>
      <x:c r="C24" s="10" t="n">
        <x:v>525</x:v>
      </x:c>
      <x:c r="D24" s="10" t="n">
        <x:v>1360</x:v>
      </x:c>
      <x:c r="E24" s="10" t="n">
        <x:v>107.472</x:v>
      </x:c>
      <x:c r="F24" s="10" t="n">
        <x:v>103.664</x:v>
      </x:c>
      <x:c r="G24" s="10" t="n">
        <x:v>59.812</x:v>
      </x:c>
      <x:c r="H24" s="10" t="n">
        <x:v>99.803</x:v>
      </x:c>
    </x:row>
    <x:row r="25">
      <x:c r="A25" s="10" t="str">
        <x:v>Трава</x:v>
      </x:c>
      <x:c r="B25" s="10" t="n">
        <x:v>12</x:v>
      </x:c>
      <x:c r="C25" s="10" t="n">
        <x:v>595</x:v>
      </x:c>
      <x:c r="D25" s="10" t="n">
        <x:v>650</x:v>
      </x:c>
      <x:c r="E25" s="10" t="n">
        <x:v>155.284</x:v>
      </x:c>
      <x:c r="F25" s="10" t="n">
        <x:v>146.105</x:v>
      </x:c>
      <x:c r="G25" s="10" t="n">
        <x:v>96.09</x:v>
      </x:c>
      <x:c r="H25" s="10" t="n">
        <x:v>143.148</x:v>
      </x:c>
    </x:row>
    <x:row r="26">
      <x:c r="A26" s="10" t="str">
        <x:v>Поле</x:v>
      </x:c>
      <x:c r="B26" s="10" t="n">
        <x:v>1</x:v>
      </x:c>
      <x:c r="C26" s="10" t="n">
        <x:v>860</x:v>
      </x:c>
      <x:c r="D26" s="10" t="n">
        <x:v>120</x:v>
      </x:c>
      <x:c r="E26" s="10" t="n">
        <x:v>181.096</x:v>
      </x:c>
      <x:c r="F26" s="10" t="n">
        <x:v>169.478</x:v>
      </x:c>
      <x:c r="G26" s="10" t="n">
        <x:v>109.985</x:v>
      </x:c>
      <x:c r="H26" s="10" t="n">
        <x:v>166.17</x:v>
      </x:c>
    </x:row>
    <x:row r="27">
      <x:c r="A27" s="10" t="str">
        <x:v>Поле</x:v>
      </x:c>
      <x:c r="B27" s="10" t="n">
        <x:v>2</x:v>
      </x:c>
      <x:c r="C27" s="10" t="n">
        <x:v>980</x:v>
      </x:c>
      <x:c r="D27" s="10" t="n">
        <x:v>230</x:v>
      </x:c>
      <x:c r="E27" s="10" t="n">
        <x:v>150.898</x:v>
      </x:c>
      <x:c r="F27" s="10" t="n">
        <x:v>140.38</x:v>
      </x:c>
      <x:c r="G27" s="10" t="n">
        <x:v>97.877</x:v>
      </x:c>
      <x:c r="H27" s="10" t="n">
        <x:v>138.679</x:v>
      </x:c>
    </x:row>
    <x:row r="28">
      <x:c r="A28" s="10" t="str">
        <x:v>Поле</x:v>
      </x:c>
      <x:c r="B28" s="10" t="n">
        <x:v>3</x:v>
      </x:c>
      <x:c r="C28" s="10" t="n">
        <x:v>1170</x:v>
      </x:c>
      <x:c r="D28" s="10" t="n">
        <x:v>340</x:v>
      </x:c>
      <x:c r="E28" s="10" t="n">
        <x:v>176.747</x:v>
      </x:c>
      <x:c r="F28" s="10" t="n">
        <x:v>160.133</x:v>
      </x:c>
      <x:c r="G28" s="10" t="n">
        <x:v>112.086</x:v>
      </x:c>
      <x:c r="H28" s="10" t="n">
        <x:v>159.623</x:v>
      </x:c>
    </x:row>
    <x:row r="29">
      <x:c r="A29" s="10" t="str">
        <x:v>Поле</x:v>
      </x:c>
      <x:c r="B29" s="10" t="n">
        <x:v>4</x:v>
      </x:c>
      <x:c r="C29" s="10" t="n">
        <x:v>1360</x:v>
      </x:c>
      <x:c r="D29" s="10" t="n">
        <x:v>455</x:v>
      </x:c>
      <x:c r="E29" s="10" t="n">
        <x:v>139.25</x:v>
      </x:c>
      <x:c r="F29" s="10" t="n">
        <x:v>119.509</x:v>
      </x:c>
      <x:c r="G29" s="10" t="n">
        <x:v>87.444</x:v>
      </x:c>
      <x:c r="H29" s="10" t="n">
        <x:v>121.756</x:v>
      </x:c>
    </x:row>
    <x:row r="30">
      <x:c r="A30" s="10" t="str">
        <x:v>Поле</x:v>
      </x:c>
      <x:c r="B30" s="10" t="n">
        <x:v>5</x:v>
      </x:c>
      <x:c r="C30" s="10" t="n">
        <x:v>1550</x:v>
      </x:c>
      <x:c r="D30" s="10" t="n">
        <x:v>570</x:v>
      </x:c>
      <x:c r="E30" s="10" t="n">
        <x:v>188.67</x:v>
      </x:c>
      <x:c r="F30" s="10" t="n">
        <x:v>165.077</x:v>
      </x:c>
      <x:c r="G30" s="10" t="n">
        <x:v>122.716</x:v>
      </x:c>
      <x:c r="H30" s="10" t="n">
        <x:v>167.302</x:v>
      </x:c>
    </x:row>
    <x:row r="31">
      <x:c r="A31" s="10" t="str">
        <x:v>Поле</x:v>
      </x:c>
      <x:c r="B31" s="10" t="n">
        <x:v>6</x:v>
      </x:c>
      <x:c r="C31" s="10" t="n">
        <x:v>1740</x:v>
      </x:c>
      <x:c r="D31" s="10" t="n">
        <x:v>690</x:v>
      </x:c>
      <x:c r="E31" s="10" t="n">
        <x:v>164.111</x:v>
      </x:c>
      <x:c r="F31" s="10" t="n">
        <x:v>136.821</x:v>
      </x:c>
      <x:c r="G31" s="10" t="n">
        <x:v>99.451</x:v>
      </x:c>
      <x:c r="H31" s="10" t="n">
        <x:v>140.721</x:v>
      </x:c>
    </x:row>
    <x:row r="32">
      <x:c r="A32" s="10" t="str">
        <x:v>Поле</x:v>
      </x:c>
      <x:c r="B32" s="10" t="n">
        <x:v>7</x:v>
      </x:c>
      <x:c r="C32" s="10" t="n">
        <x:v>900</x:v>
      </x:c>
      <x:c r="D32" s="10" t="n">
        <x:v>820</x:v>
      </x:c>
      <x:c r="E32" s="10" t="n">
        <x:v>196.642</x:v>
      </x:c>
      <x:c r="F32" s="10" t="n">
        <x:v>171.867</x:v>
      </x:c>
      <x:c r="G32" s="10" t="n">
        <x:v>121.222</x:v>
      </x:c>
      <x:c r="H32" s="10" t="n">
        <x:v>173.501</x:v>
      </x:c>
    </x:row>
    <x:row r="33">
      <x:c r="A33" s="10" t="str">
        <x:v>Поле</x:v>
      </x:c>
      <x:c r="B33" s="10" t="n">
        <x:v>8</x:v>
      </x:c>
      <x:c r="C33" s="10" t="n">
        <x:v>1120</x:v>
      </x:c>
      <x:c r="D33" s="10" t="n">
        <x:v>940</x:v>
      </x:c>
      <x:c r="E33" s="10" t="n">
        <x:v>188.719</x:v>
      </x:c>
      <x:c r="F33" s="10" t="n">
        <x:v>164.022</x:v>
      </x:c>
      <x:c r="G33" s="10" t="n">
        <x:v>121.046</x:v>
      </x:c>
      <x:c r="H33" s="10" t="n">
        <x:v>166.507</x:v>
      </x:c>
    </x:row>
    <x:row r="34">
      <x:c r="A34" s="10" t="str">
        <x:v>Поле</x:v>
      </x:c>
      <x:c r="B34" s="10" t="n">
        <x:v>9</x:v>
      </x:c>
      <x:c r="C34" s="10" t="n">
        <x:v>1330</x:v>
      </x:c>
      <x:c r="D34" s="10" t="n">
        <x:v>1060</x:v>
      </x:c>
      <x:c r="E34" s="10" t="n">
        <x:v>162.898</x:v>
      </x:c>
      <x:c r="F34" s="10" t="n">
        <x:v>134.932</x:v>
      </x:c>
      <x:c r="G34" s="10" t="n">
        <x:v>101.503</x:v>
      </x:c>
      <x:c r="H34" s="10" t="n">
        <x:v>139.483</x:v>
      </x:c>
    </x:row>
    <x:row r="35">
      <x:c r="A35" s="10" t="str">
        <x:v>Поле</x:v>
      </x:c>
      <x:c r="B35" s="10" t="n">
        <x:v>10</x:v>
      </x:c>
      <x:c r="C35" s="10" t="n">
        <x:v>1530</x:v>
      </x:c>
      <x:c r="D35" s="10" t="n">
        <x:v>1180</x:v>
      </x:c>
      <x:c r="E35" s="10" t="n">
        <x:v>204.309</x:v>
      </x:c>
      <x:c r="F35" s="10" t="n">
        <x:v>175.086</x:v>
      </x:c>
      <x:c r="G35" s="10" t="n">
        <x:v>127.66</x:v>
      </x:c>
      <x:c r="H35" s="10" t="n">
        <x:v>178.417</x:v>
      </x:c>
    </x:row>
    <x:row r="36">
      <x:c r="A36" s="10" t="str">
        <x:v>Поле</x:v>
      </x:c>
      <x:c r="B36" s="10" t="n">
        <x:v>11</x:v>
      </x:c>
      <x:c r="C36" s="10" t="n">
        <x:v>1720</x:v>
      </x:c>
      <x:c r="D36" s="10" t="n">
        <x:v>1300</x:v>
      </x:c>
      <x:c r="E36" s="10" t="n">
        <x:v>156.741</x:v>
      </x:c>
      <x:c r="F36" s="10" t="n">
        <x:v>127.701</x:v>
      </x:c>
      <x:c r="G36" s="10" t="n">
        <x:v>85.645</x:v>
      </x:c>
      <x:c r="H36" s="10" t="n">
        <x:v>131.589</x:v>
      </x:c>
    </x:row>
    <x:row r="37">
      <x:c r="A37" s="10" t="str">
        <x:v>Поле</x:v>
      </x:c>
      <x:c r="B37" s="10" t="n">
        <x:v>12</x:v>
      </x:c>
      <x:c r="C37" s="10" t="n">
        <x:v>1880</x:v>
      </x:c>
      <x:c r="D37" s="10" t="n">
        <x:v>1410</x:v>
      </x:c>
      <x:c r="E37" s="10" t="n">
        <x:v>152.407</x:v>
      </x:c>
      <x:c r="F37" s="10" t="n">
        <x:v>116.972</x:v>
      </x:c>
      <x:c r="G37" s="10" t="n">
        <x:v>79.883</x:v>
      </x:c>
      <x:c r="H37" s="10" t="n">
        <x:v>123.339</x:v>
      </x:c>
    </x:row>
    <x:row r="38">
      <x:c r="A38" s="10" t="str">
        <x:v>Столбики в поле</x:v>
      </x:c>
      <x:c r="B38" s="10" t="n">
        <x:v>1</x:v>
      </x:c>
      <x:c r="C38" s="10" t="n">
        <x:v>1044</x:v>
      </x:c>
      <x:c r="D38" s="10" t="n">
        <x:v>328</x:v>
      </x:c>
      <x:c r="E38" s="10" t="n">
        <x:v>181.515</x:v>
      </x:c>
      <x:c r="F38" s="10" t="n">
        <x:v>174.093</x:v>
      </x:c>
      <x:c r="G38" s="10" t="n">
        <x:v>154.781</x:v>
      </x:c>
      <x:c r="H38" s="10" t="n">
        <x:v>174.11</x:v>
      </x:c>
    </x:row>
    <x:row r="39">
      <x:c r="A39" s="10" t="str">
        <x:v>Столбики в поле</x:v>
      </x:c>
      <x:c r="B39" s="10" t="n">
        <x:v>2</x:v>
      </x:c>
      <x:c r="C39" s="10" t="n">
        <x:v>1052</x:v>
      </x:c>
      <x:c r="D39" s="10" t="n">
        <x:v>328</x:v>
      </x:c>
      <x:c r="E39" s="10" t="n">
        <x:v>191.38</x:v>
      </x:c>
      <x:c r="F39" s="10" t="n">
        <x:v>193.747</x:v>
      </x:c>
      <x:c r="G39" s="10" t="n">
        <x:v>187.735</x:v>
      </x:c>
      <x:c r="H39" s="10" t="n">
        <x:v>192.354</x:v>
      </x:c>
    </x:row>
    <x:row r="40">
      <x:c r="A40" s="10" t="str">
        <x:v>Столбики в поле</x:v>
      </x:c>
      <x:c r="B40" s="10" t="n">
        <x:v>3</x:v>
      </x:c>
      <x:c r="C40" s="10" t="n">
        <x:v>1060</x:v>
      </x:c>
      <x:c r="D40" s="10" t="n">
        <x:v>328</x:v>
      </x:c>
      <x:c r="E40" s="10" t="n">
        <x:v>177.836</x:v>
      </x:c>
      <x:c r="F40" s="10" t="n">
        <x:v>177.861</x:v>
      </x:c>
      <x:c r="G40" s="10" t="n">
        <x:v>165.503</x:v>
      </x:c>
      <x:c r="H40" s="10" t="n">
        <x:v>176.445</x:v>
      </x:c>
    </x:row>
    <x:row r="41">
      <x:c r="A41" s="10" t="str">
        <x:v>Столбики в поле</x:v>
      </x:c>
      <x:c r="B41" s="10" t="n">
        <x:v>4</x:v>
      </x:c>
      <x:c r="C41" s="10" t="n">
        <x:v>1048</x:v>
      </x:c>
      <x:c r="D41" s="10" t="n">
        <x:v>338</x:v>
      </x:c>
      <x:c r="E41" s="10" t="n">
        <x:v>174.259</x:v>
      </x:c>
      <x:c r="F41" s="10" t="n">
        <x:v>171.648</x:v>
      </x:c>
      <x:c r="G41" s="10" t="n">
        <x:v>149.373</x:v>
      </x:c>
      <x:c r="H41" s="10" t="n">
        <x:v>169.89</x:v>
      </x:c>
    </x:row>
    <x:row r="42">
      <x:c r="A42" s="10" t="str">
        <x:v>Столбики в поле</x:v>
      </x:c>
      <x:c r="B42" s="10" t="n">
        <x:v>5</x:v>
      </x:c>
      <x:c r="C42" s="10" t="n">
        <x:v>1962</x:v>
      </x:c>
      <x:c r="D42" s="10" t="n">
        <x:v>326</x:v>
      </x:c>
      <x:c r="E42" s="10" t="n">
        <x:v>166.494</x:v>
      </x:c>
      <x:c r="F42" s="10" t="n">
        <x:v>157.963</x:v>
      </x:c>
      <x:c r="G42" s="10" t="n">
        <x:v>136.617</x:v>
      </x:c>
      <x:c r="H42" s="10" t="n">
        <x:v>158.08</x:v>
      </x:c>
    </x:row>
    <x:row r="43">
      <x:c r="A43" s="10" t="str">
        <x:v>Столбики в поле</x:v>
      </x:c>
      <x:c r="B43" s="10" t="n">
        <x:v>6</x:v>
      </x:c>
      <x:c r="C43" s="10" t="n">
        <x:v>1970</x:v>
      </x:c>
      <x:c r="D43" s="10" t="n">
        <x:v>326</x:v>
      </x:c>
      <x:c r="E43" s="10" t="n">
        <x:v>170.679</x:v>
      </x:c>
      <x:c r="F43" s="10" t="n">
        <x:v>165.451</x:v>
      </x:c>
      <x:c r="G43" s="10" t="n">
        <x:v>158.565</x:v>
      </x:c>
      <x:c r="H43" s="10" t="n">
        <x:v>166.229</x:v>
      </x:c>
    </x:row>
    <x:row r="44">
      <x:c r="A44" s="10" t="str">
        <x:v>Столбики в поле</x:v>
      </x:c>
      <x:c r="B44" s="10" t="n">
        <x:v>7</x:v>
      </x:c>
      <x:c r="C44" s="10" t="n">
        <x:v>1978</x:v>
      </x:c>
      <x:c r="D44" s="10" t="n">
        <x:v>326</x:v>
      </x:c>
      <x:c r="E44" s="10" t="n">
        <x:v>140.052</x:v>
      </x:c>
      <x:c r="F44" s="10" t="n">
        <x:v>126.315</x:v>
      </x:c>
      <x:c r="G44" s="10" t="n">
        <x:v>109.426</x:v>
      </x:c>
      <x:c r="H44" s="10" t="n">
        <x:v>128.497</x:v>
      </x:c>
    </x:row>
    <x:row r="45">
      <x:c r="A45" s="10" t="str">
        <x:v>Столбики в поле</x:v>
      </x:c>
      <x:c r="B45" s="10" t="n">
        <x:v>8</x:v>
      </x:c>
      <x:c r="C45" s="10" t="n">
        <x:v>1966</x:v>
      </x:c>
      <x:c r="D45" s="10" t="n">
        <x:v>336</x:v>
      </x:c>
      <x:c r="E45" s="10" t="n">
        <x:v>136.367</x:v>
      </x:c>
      <x:c r="F45" s="10" t="n">
        <x:v>127.247</x:v>
      </x:c>
      <x:c r="G45" s="10" t="n">
        <x:v>103.157</x:v>
      </x:c>
      <x:c r="H45" s="10" t="n">
        <x:v>127.228</x:v>
      </x:c>
    </x:row>
    <x:row r="46">
      <x:c r="A46" s="10" t="str">
        <x:v>Столбики в поле</x:v>
      </x:c>
      <x:c r="B46" s="10" t="n">
        <x:v>9</x:v>
      </x:c>
      <x:c r="C46" s="10" t="n">
        <x:v>1006</x:v>
      </x:c>
      <x:c r="D46" s="10" t="n">
        <x:v>1318</x:v>
      </x:c>
      <x:c r="E46" s="10" t="n">
        <x:v>200.25</x:v>
      </x:c>
      <x:c r="F46" s="10" t="n">
        <x:v>184.92</x:v>
      </x:c>
      <x:c r="G46" s="10" t="n">
        <x:v>158.062</x:v>
      </x:c>
      <x:c r="H46" s="10" t="n">
        <x:v>186.442</x:v>
      </x:c>
    </x:row>
    <x:row r="47">
      <x:c r="A47" s="10" t="str">
        <x:v>Столбики в поле</x:v>
      </x:c>
      <x:c r="B47" s="10" t="n">
        <x:v>10</x:v>
      </x:c>
      <x:c r="C47" s="10" t="n">
        <x:v>1014</x:v>
      </x:c>
      <x:c r="D47" s="10" t="n">
        <x:v>1318</x:v>
      </x:c>
      <x:c r="E47" s="10" t="n">
        <x:v>206.306</x:v>
      </x:c>
      <x:c r="F47" s="10" t="n">
        <x:v>199.167</x:v>
      </x:c>
      <x:c r="G47" s="10" t="n">
        <x:v>187.059</x:v>
      </x:c>
      <x:c r="H47" s="10" t="n">
        <x:v>199.921</x:v>
      </x:c>
    </x:row>
    <x:row r="48">
      <x:c r="A48" s="10" t="str">
        <x:v>Столбики в поле</x:v>
      </x:c>
      <x:c r="B48" s="10" t="n">
        <x:v>11</x:v>
      </x:c>
      <x:c r="C48" s="10" t="n">
        <x:v>1022</x:v>
      </x:c>
      <x:c r="D48" s="10" t="n">
        <x:v>1318</x:v>
      </x:c>
      <x:c r="E48" s="10" t="n">
        <x:v>184.667</x:v>
      </x:c>
      <x:c r="F48" s="10" t="n">
        <x:v>172.213</x:v>
      </x:c>
      <x:c r="G48" s="10" t="n">
        <x:v>155.114</x:v>
      </x:c>
      <x:c r="H48" s="10" t="n">
        <x:v>173.987</x:v>
      </x:c>
    </x:row>
    <x:row r="49">
      <x:c r="A49" s="10" t="str">
        <x:v>Столбики в поле</x:v>
      </x:c>
      <x:c r="B49" s="10" t="n">
        <x:v>12</x:v>
      </x:c>
      <x:c r="C49" s="10" t="n">
        <x:v>1938</x:v>
      </x:c>
      <x:c r="D49" s="10" t="n">
        <x:v>1248</x:v>
      </x:c>
      <x:c r="E49" s="10" t="n">
        <x:v>176.299</x:v>
      </x:c>
      <x:c r="F49" s="10" t="n">
        <x:v>161.361</x:v>
      </x:c>
      <x:c r="G49" s="10" t="n">
        <x:v>150.463</x:v>
      </x:c>
      <x:c r="H49" s="10" t="n">
        <x:v>164.585</x:v>
      </x:c>
    </x:row>
  </x:sheetData>
  <x:pageMargins left="0.7" right="0.7" top="0.75" bottom="0.75" header="0.3" footer="0.3"/>
  <x:tableParts count="1">
    <x:tablePart xmlns:r="http://schemas.openxmlformats.org/officeDocument/2006/relationships" r:id="R068236aecbe2433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>
      <x:c r="A1" s="15" t="str">
        <x:v>Тип поверхности</x:v>
      </x:c>
      <x:c r="B1" s="15" t="str">
        <x:v>N</x:v>
      </x:c>
      <x:c r="C1" s="15" t="str">
        <x:v>R среднее</x:v>
      </x:c>
      <x:c r="D1" s="15" t="str">
        <x:v>R дисперсия</x:v>
      </x:c>
      <x:c r="E1" s="15" t="str">
        <x:v>G среднее</x:v>
      </x:c>
      <x:c r="F1" s="15" t="str">
        <x:v>G дисперсия</x:v>
      </x:c>
      <x:c r="G1" s="15" t="str">
        <x:v>B среднее</x:v>
      </x:c>
      <x:c r="H1" s="15" t="str">
        <x:v>B дисперсия</x:v>
      </x:c>
      <x:c r="I1" s="15" t="str">
        <x:v>Gray среднее</x:v>
      </x:c>
      <x:c r="J1" s="15" t="str">
        <x:v>Gray дисперсия</x:v>
      </x:c>
    </x:row>
    <x:row r="2">
      <x:c r="A2" t="str">
        <x:v>Дорога</x:v>
      </x:c>
      <x:c r="B2" s="10" t="n">
        <x:f>COUNTIF(Blocks!$A$2:$A$49,$A2)</x:f>
        <x:v>12</x:v>
      </x:c>
      <x:c r="C2" s="10" t="n">
        <x:f>AVERAGEIF(Blocks!$A$2:$A$49,$A2,Blocks!$E$2:$E$49)</x:f>
        <x:v>173.9099166666667</x:v>
      </x:c>
      <x:c r="D2" s="10" t="n">
        <x:f>SUMPRODUCT((Blocks!$A$2:$A$49=$A2)*(Blocks!$E$2:$E$49-AVERAGEIF(Blocks!$A$2:$A$49,$A2,Blocks!$E$2:$E$49))^2)/(COUNTIF(Blocks!$A$2:$A$49,$A2)-1)</x:f>
        <x:v>185.3905522651514</x:v>
      </x:c>
      <x:c r="E2" s="10" t="n">
        <x:f>AVERAGEIF(Blocks!$A$2:$A$49,$A2,Blocks!$F$2:$F$49)</x:f>
        <x:v>165.623</x:v>
      </x:c>
      <x:c r="F2" s="10" t="n">
        <x:f>SUMPRODUCT((Blocks!$A$2:$A$49=$A2)*(Blocks!$F$2:$F$49-AVERAGEIF(Blocks!$A$2:$A$49,$A2,Blocks!$F$2:$F$49))^2)/(COUNTIF(Blocks!$A$2:$A$49,$A2)-1)</x:f>
        <x:v>232.02700400000006</x:v>
      </x:c>
      <x:c r="G2" s="10" t="n">
        <x:f>AVERAGEIF(Blocks!$A$2:$A$49,$A2,Blocks!$G$2:$G$49)</x:f>
        <x:v>118.47008333333332</x:v>
      </x:c>
      <x:c r="H2" s="10" t="n">
        <x:f>SUMPRODUCT((Blocks!$A$2:$A$49=$A2)*(Blocks!$G$2:$G$49-AVERAGEIF(Blocks!$A$2:$A$49,$A2,Blocks!$G$2:$G$49))^2)/(COUNTIF(Blocks!$A$2:$A$49,$A2)-1)</x:f>
        <x:v>191.69607426515148</x:v>
      </x:c>
      <x:c r="I2" s="10" t="n">
        <x:f>AVERAGEIF(Blocks!$A$2:$A$49,$A2,Blocks!$H$2:$H$49)</x:f>
        <x:v>162.72541666666666</x:v>
      </x:c>
      <x:c r="J2" s="10" t="n">
        <x:f>SUMPRODUCT((Blocks!$A$2:$A$49=$A2)*(Blocks!$H$2:$H$49-AVERAGEIF(Blocks!$A$2:$A$49,$A2,Blocks!$H$2:$H$49))^2)/(COUNTIF(Blocks!$A$2:$A$49,$A2)-1)</x:f>
        <x:v>208.13883499242428</x:v>
      </x:c>
    </x:row>
    <x:row r="3">
      <x:c r="A3" t="str">
        <x:v>Трава</x:v>
      </x:c>
      <x:c r="B3" s="10" t="n">
        <x:f>COUNTIF(Blocks!$A$2:$A$49,$A3)</x:f>
        <x:v>12</x:v>
      </x:c>
      <x:c r="C3" s="10" t="n">
        <x:f>AVERAGEIF(Blocks!$A$2:$A$49,$A3,Blocks!$E$2:$E$49)</x:f>
        <x:v>125.08099999999997</x:v>
      </x:c>
      <x:c r="D3" s="10" t="n">
        <x:f>SUMPRODUCT((Blocks!$A$2:$A$49=$A3)*(Blocks!$E$2:$E$49-AVERAGEIF(Blocks!$A$2:$A$49,$A3,Blocks!$E$2:$E$49))^2)/(COUNTIF(Blocks!$A$2:$A$49,$A3)-1)</x:f>
        <x:v>197.03055654545452</x:v>
      </x:c>
      <x:c r="E3" s="10" t="n">
        <x:f>AVERAGEIF(Blocks!$A$2:$A$49,$A3,Blocks!$F$2:$F$49)</x:f>
        <x:v>122.42075000000001</x:v>
      </x:c>
      <x:c r="F3" s="10" t="n">
        <x:f>SUMPRODUCT((Blocks!$A$2:$A$49=$A3)*(Blocks!$F$2:$F$49-AVERAGEIF(Blocks!$A$2:$A$49,$A3,Blocks!$F$2:$F$49))^2)/(COUNTIF(Blocks!$A$2:$A$49,$A3)-1)</x:f>
        <x:v>107.23602402272722</x:v>
      </x:c>
      <x:c r="G3" s="10" t="n">
        <x:f>AVERAGEIF(Blocks!$A$2:$A$49,$A3,Blocks!$G$2:$G$49)</x:f>
        <x:v>71.64225</x:v>
      </x:c>
      <x:c r="H3" s="10" t="n">
        <x:f>SUMPRODUCT((Blocks!$A$2:$A$49=$A3)*(Blocks!$G$2:$G$49-AVERAGEIF(Blocks!$A$2:$A$49,$A3,Blocks!$G$2:$G$49))^2)/(COUNTIF(Blocks!$A$2:$A$49,$A3)-1)</x:f>
        <x:v>97.04529675000002</x:v>
      </x:c>
      <x:c r="I3" s="10" t="n">
        <x:f>AVERAGEIF(Blocks!$A$2:$A$49,$A3,Blocks!$H$2:$H$49)</x:f>
        <x:v>117.42741666666664</x:v>
      </x:c>
      <x:c r="J3" s="10" t="n">
        <x:f>SUMPRODUCT((Blocks!$A$2:$A$49=$A3)*(Blocks!$H$2:$H$49-AVERAGEIF(Blocks!$A$2:$A$49,$A3,Blocks!$H$2:$H$49))^2)/(COUNTIF(Blocks!$A$2:$A$49,$A3)-1)</x:f>
        <x:v>124.9810613560606</x:v>
      </x:c>
    </x:row>
    <x:row r="4">
      <x:c r="A4" t="str">
        <x:v>Поле</x:v>
      </x:c>
      <x:c r="B4" s="10" t="n">
        <x:f>COUNTIF(Blocks!$A$2:$A$49,$A4)</x:f>
        <x:v>12</x:v>
      </x:c>
      <x:c r="C4" s="10" t="n">
        <x:f>AVERAGEIF(Blocks!$A$2:$A$49,$A4,Blocks!$E$2:$E$49)</x:f>
        <x:v>171.874</x:v>
      </x:c>
      <x:c r="D4" s="10" t="n">
        <x:f>SUMPRODUCT((Blocks!$A$2:$A$49=$A4)*(Blocks!$E$2:$E$49-AVERAGEIF(Blocks!$A$2:$A$49,$A4,Blocks!$E$2:$E$49))^2)/(COUNTIF(Blocks!$A$2:$A$49,$A4)-1)</x:f>
        <x:v>417.5687798181818</x:v>
      </x:c>
      <x:c r="E4" s="10" t="n">
        <x:f>AVERAGEIF(Blocks!$A$2:$A$49,$A4,Blocks!$F$2:$F$49)</x:f>
        <x:v>148.49816666666666</x:v>
      </x:c>
      <x:c r="F4" s="10" t="n">
        <x:f>SUMPRODUCT((Blocks!$A$2:$A$49=$A4)*(Blocks!$F$2:$F$49-AVERAGEIF(Blocks!$A$2:$A$49,$A4,Blocks!$F$2:$F$49))^2)/(COUNTIF(Blocks!$A$2:$A$49,$A4)-1)</x:f>
        <x:v>454.31636015151525</x:v>
      </x:c>
      <x:c r="G4" s="10" t="n">
        <x:f>AVERAGEIF(Blocks!$A$2:$A$49,$A4,Blocks!$G$2:$G$49)</x:f>
        <x:v>105.54316666666666</x:v>
      </x:c>
      <x:c r="H4" s="10" t="n">
        <x:f>SUMPRODUCT((Blocks!$A$2:$A$49=$A4)*(Blocks!$G$2:$G$49-AVERAGEIF(Blocks!$A$2:$A$49,$A4,Blocks!$G$2:$G$49))^2)/(COUNTIF(Blocks!$A$2:$A$49,$A4)-1)</x:f>
        <x:v>256.993755060606</x:v>
      </x:c>
      <x:c r="I4" s="10" t="n">
        <x:f>AVERAGEIF(Blocks!$A$2:$A$49,$A4,Blocks!$H$2:$H$49)</x:f>
        <x:v>150.5905833333333</x:v>
      </x:c>
      <x:c r="J4" s="10" t="n">
        <x:f>SUMPRODUCT((Blocks!$A$2:$A$49=$A4)*(Blocks!$H$2:$H$49-AVERAGEIF(Blocks!$A$2:$A$49,$A4,Blocks!$H$2:$H$49))^2)/(COUNTIF(Blocks!$A$2:$A$49,$A4)-1)</x:f>
        <x:v>404.9016597196969</x:v>
      </x:c>
    </x:row>
    <x:row r="5">
      <x:c r="A5" t="str">
        <x:v>Столбики в поле</x:v>
      </x:c>
      <x:c r="B5" s="10" t="n">
        <x:f>COUNTIF(Blocks!$A$2:$A$49,$A5)</x:f>
        <x:v>12</x:v>
      </x:c>
      <x:c r="C5" s="10" t="n">
        <x:f>AVERAGEIF(Blocks!$A$2:$A$49,$A5,Blocks!$E$2:$E$49)</x:f>
        <x:v>175.50866666666664</x:v>
      </x:c>
      <x:c r="D5" s="10" t="n">
        <x:f>SUMPRODUCT((Blocks!$A$2:$A$49=$A5)*(Blocks!$E$2:$E$49-AVERAGEIF(Blocks!$A$2:$A$49,$A5,Blocks!$E$2:$E$49))^2)/(COUNTIF(Blocks!$A$2:$A$49,$A5)-1)</x:f>
        <x:v>439.44523606060625</x:v>
      </x:c>
      <x:c r="E5" s="10" t="n">
        <x:f>AVERAGEIF(Blocks!$A$2:$A$49,$A5,Blocks!$F$2:$F$49)</x:f>
        <x:v>167.66549999999998</x:v>
      </x:c>
      <x:c r="F5" s="10" t="n">
        <x:f>SUMPRODUCT((Blocks!$A$2:$A$49=$A5)*(Blocks!$F$2:$F$49-AVERAGEIF(Blocks!$A$2:$A$49,$A5,Blocks!$F$2:$F$49))^2)/(COUNTIF(Blocks!$A$2:$A$49,$A5)-1)</x:f>
        <x:v>512.2196530000001</x:v>
      </x:c>
      <x:c r="G5" s="10" t="n">
        <x:f>AVERAGEIF(Blocks!$A$2:$A$49,$A5,Blocks!$G$2:$G$49)</x:f>
        <x:v>151.32125</x:v>
      </x:c>
      <x:c r="H5" s="10" t="n">
        <x:f>SUMPRODUCT((Blocks!$A$2:$A$49=$A5)*(Blocks!$G$2:$G$49-AVERAGEIF(Blocks!$A$2:$A$49,$A5,Blocks!$G$2:$G$49))^2)/(COUNTIF(Blocks!$A$2:$A$49,$A5)-1)</x:f>
        <x:v>656.7535122045455</x:v>
      </x:c>
      <x:c r="I5" s="10" t="n">
        <x:f>AVERAGEIF(Blocks!$A$2:$A$49,$A5,Blocks!$H$2:$H$49)</x:f>
        <x:v>168.14733333333336</x:v>
      </x:c>
      <x:c r="J5" s="10" t="n">
        <x:f>SUMPRODUCT((Blocks!$A$2:$A$49=$A5)*(Blocks!$H$2:$H$49-AVERAGEIF(Blocks!$A$2:$A$49,$A5,Blocks!$H$2:$H$49))^2)/(COUNTIF(Blocks!$A$2:$A$49,$A5)-1)</x:f>
        <x:v>494.1844444242424</x:v>
      </x:c>
    </x:row>
    <x:row r="9">
      <x:c r="A9" s="20" t="str">
        <x:v>Расчетные значения для проверки и построения диаграмм</x:v>
      </x:c>
      <x:c r="B9" s="20"/>
      <x:c r="C9" s="20"/>
      <x:c r="D9" s="20"/>
      <x:c r="E9" s="20"/>
      <x:c r="F9" s="20"/>
      <x:c r="G9" s="20"/>
      <x:c r="H9" s="20"/>
      <x:c r="I9" s="20"/>
      <x:c r="J9" s="20"/>
    </x:row>
    <x:row r="10">
      <x:c r="A10" s="24" t="str">
        <x:v>Тип поверхности</x:v>
      </x:c>
      <x:c r="B10" s="24" t="str">
        <x:v>N</x:v>
      </x:c>
      <x:c r="C10" s="24" t="str">
        <x:v>R среднее</x:v>
      </x:c>
      <x:c r="D10" s="24" t="str">
        <x:v>R дисперсия</x:v>
      </x:c>
      <x:c r="E10" s="24" t="str">
        <x:v>G среднее</x:v>
      </x:c>
      <x:c r="F10" s="24" t="str">
        <x:v>G дисперсия</x:v>
      </x:c>
      <x:c r="G10" s="24" t="str">
        <x:v>B среднее</x:v>
      </x:c>
      <x:c r="H10" s="24" t="str">
        <x:v>B дисперсия</x:v>
      </x:c>
      <x:c r="I10" s="24" t="str">
        <x:v>Gray среднее</x:v>
      </x:c>
      <x:c r="J10" s="24" t="str">
        <x:v>Gray дисперсия</x:v>
      </x:c>
    </x:row>
    <x:row r="11">
      <x:c r="A11" t="str">
        <x:v>Дорога</x:v>
      </x:c>
      <x:c r="B11" s="10" t="n">
        <x:v>12</x:v>
      </x:c>
      <x:c r="C11" s="10" t="n">
        <x:v>173.91</x:v>
      </x:c>
      <x:c r="D11" s="10" t="n">
        <x:v>185.389</x:v>
      </x:c>
      <x:c r="E11" s="10" t="n">
        <x:v>165.623</x:v>
      </x:c>
      <x:c r="F11" s="10" t="n">
        <x:v>232.027</x:v>
      </x:c>
      <x:c r="G11" s="10" t="n">
        <x:v>118.47</x:v>
      </x:c>
      <x:c r="H11" s="10" t="n">
        <x:v>191.693</x:v>
      </x:c>
      <x:c r="I11" s="10" t="n">
        <x:v>162.725</x:v>
      </x:c>
      <x:c r="J11" s="10" t="n">
        <x:v>208.14</x:v>
      </x:c>
    </x:row>
    <x:row r="12">
      <x:c r="A12" t="str">
        <x:v>Трава</x:v>
      </x:c>
      <x:c r="B12" s="10" t="n">
        <x:v>12</x:v>
      </x:c>
      <x:c r="C12" s="10" t="n">
        <x:v>125.081</x:v>
      </x:c>
      <x:c r="D12" s="10" t="n">
        <x:v>197.032</x:v>
      </x:c>
      <x:c r="E12" s="10" t="n">
        <x:v>122.421</x:v>
      </x:c>
      <x:c r="F12" s="10" t="n">
        <x:v>107.237</x:v>
      </x:c>
      <x:c r="G12" s="10" t="n">
        <x:v>71.642</x:v>
      </x:c>
      <x:c r="H12" s="10" t="n">
        <x:v>97.044</x:v>
      </x:c>
      <x:c r="I12" s="10" t="n">
        <x:v>117.427</x:v>
      </x:c>
      <x:c r="J12" s="10" t="n">
        <x:v>124.977</x:v>
      </x:c>
    </x:row>
    <x:row r="13">
      <x:c r="A13" t="str">
        <x:v>Поле</x:v>
      </x:c>
      <x:c r="B13" s="10" t="n">
        <x:v>12</x:v>
      </x:c>
      <x:c r="C13" s="10" t="n">
        <x:v>171.874</x:v>
      </x:c>
      <x:c r="D13" s="10" t="n">
        <x:v>417.564</x:v>
      </x:c>
      <x:c r="E13" s="10" t="n">
        <x:v>148.498</x:v>
      </x:c>
      <x:c r="F13" s="10" t="n">
        <x:v>454.319</x:v>
      </x:c>
      <x:c r="G13" s="10" t="n">
        <x:v>105.543</x:v>
      </x:c>
      <x:c r="H13" s="10" t="n">
        <x:v>256.998</x:v>
      </x:c>
      <x:c r="I13" s="10" t="n">
        <x:v>150.591</x:v>
      </x:c>
      <x:c r="J13" s="10" t="n">
        <x:v>404.901</x:v>
      </x:c>
    </x:row>
    <x:row r="14">
      <x:c r="A14" t="str">
        <x:v>Столбики в поле</x:v>
      </x:c>
      <x:c r="B14" s="10" t="n">
        <x:v>12</x:v>
      </x:c>
      <x:c r="C14" s="10" t="n">
        <x:v>175.509</x:v>
      </x:c>
      <x:c r="D14" s="10" t="n">
        <x:v>439.437</x:v>
      </x:c>
      <x:c r="E14" s="10" t="n">
        <x:v>167.665</x:v>
      </x:c>
      <x:c r="F14" s="10" t="n">
        <x:v>512.219</x:v>
      </x:c>
      <x:c r="G14" s="10" t="n">
        <x:v>151.321</x:v>
      </x:c>
      <x:c r="H14" s="10" t="n">
        <x:v>656.744</x:v>
      </x:c>
      <x:c r="I14" s="10" t="n">
        <x:v>168.147</x:v>
      </x:c>
      <x:c r="J14" s="10" t="n">
        <x:v>494.183</x:v>
      </x:c>
    </x:row>
    <x:row r="17">
      <x:c r="A17" s="24" t="str">
        <x:v>Целое изображение</x:v>
      </x:c>
      <x:c r="B17" s="24" t="str">
        <x:v>N</x:v>
      </x:c>
      <x:c r="C17" s="24" t="str">
        <x:v>R среднее</x:v>
      </x:c>
      <x:c r="D17" s="24" t="str">
        <x:v>R дисперсия</x:v>
      </x:c>
      <x:c r="E17" s="24" t="str">
        <x:v>G среднее</x:v>
      </x:c>
      <x:c r="F17" s="24" t="str">
        <x:v>G дисперсия</x:v>
      </x:c>
      <x:c r="G17" s="24" t="str">
        <x:v>B среднее</x:v>
      </x:c>
      <x:c r="H17" s="24" t="str">
        <x:v>B дисперсия</x:v>
      </x:c>
      <x:c r="I17" s="24" t="str">
        <x:v>Gray среднее</x:v>
      </x:c>
      <x:c r="J17" s="24" t="str">
        <x:v>Gray дисперсия</x:v>
      </x:c>
    </x:row>
    <x:row r="18">
      <x:c r="A18" t="str">
        <x:v>Целое изображение</x:v>
      </x:c>
      <x:c r="B18" t="n">
        <x:v>3033088</x:v>
      </x:c>
      <x:c r="C18" t="n">
        <x:v>152.839</x:v>
      </x:c>
      <x:c r="D18" t="n">
        <x:v>1427.168</x:v>
      </x:c>
      <x:c r="E18" t="n">
        <x:v>135.289</x:v>
      </x:c>
      <x:c r="F18" t="n">
        <x:v>1167.57</x:v>
      </x:c>
      <x:c r="G18" t="n">
        <x:v>93.173</x:v>
      </x:c>
      <x:c r="H18" t="n">
        <x:v>799.792</x:v>
      </x:c>
      <x:c r="I18" t="n">
        <x:v>135.735</x:v>
      </x:c>
      <x:c r="J18" t="n">
        <x:v>1173.156</x:v>
      </x:c>
    </x:row>
  </x:sheetData>
  <x:pageMargins left="0.7" right="0.7" top="0.75" bottom="0.75" header="0.3" footer="0.3"/>
  <x:drawing xmlns:r="http://schemas.openxmlformats.org/officeDocument/2006/relationships" r:id="R445ca2c62c4b487a"/>
  <x:tableParts count="1">
    <x:tablePart xmlns:r="http://schemas.openxmlformats.org/officeDocument/2006/relationships" r:id="R88204664ff85422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5" hidden="0" customWidth="1"/>
  </x:cols>
  <x:sheetData>
    <x:row r="1">
      <x:c r="A1" s="28" t="str">
        <x:v>Параметр</x:v>
      </x:c>
      <x:c r="B1" s="28" t="str">
        <x:v>Значение</x:v>
      </x:c>
    </x:row>
    <x:row r="2">
      <x:c r="A2" s="29" t="str">
        <x:v>Работу выполнил</x:v>
      </x:c>
      <x:c r="B2" s="29" t="str">
        <x:v>Судаков Алексей</x:v>
      </x:c>
    </x:row>
    <x:row r="3">
      <x:c r="A3" s="29" t="str">
        <x:v>Исходное изображение</x:v>
      </x:c>
      <x:c r="B3" s="29" t="str">
        <x:v>001ec08b4da1-FW00127.jpg</x:v>
      </x:c>
    </x:row>
    <x:row r="4">
      <x:c r="A4" s="29" t="str">
        <x:v>Размер изображения</x:v>
      </x:c>
      <x:c r="B4" s="29" t="str">
        <x:v>2048 x 1481 пикселей</x:v>
      </x:c>
    </x:row>
    <x:row r="5">
      <x:c r="A5" s="29" t="str">
        <x:v>Размер выбранного блока</x:v>
      </x:c>
      <x:c r="B5" s="29" t="str">
        <x:v>18 x 18 пикселей</x:v>
      </x:c>
    </x:row>
    <x:row r="6">
      <x:c r="A6" s="29" t="str">
        <x:v>Количество блоков</x:v>
      </x:c>
      <x:c r="B6" s="29" t="str">
        <x:v>12 на каждый тип поверхности</x:v>
      </x:c>
    </x:row>
    <x:row r="7">
      <x:c r="A7" s="29" t="str">
        <x:v>Типы объектов/поверхностей</x:v>
      </x:c>
      <x:c r="B7" s="29" t="str">
        <x:v>Дорога; трава; поле; столбики в поле</x:v>
      </x:c>
    </x:row>
    <x:row r="8">
      <x:c r="A8" s="29" t="str">
        <x:v>Каналы</x:v>
      </x:c>
      <x:c r="B8" s="29" t="str">
        <x:v>Red, Green, Blue, Gray</x:v>
      </x:c>
    </x:row>
    <x:row r="9">
      <x:c r="A9" s="29" t="str">
        <x:v>Формула Gray</x:v>
      </x:c>
      <x:c r="B9" s="29" t="str">
        <x:v>Gray = 0.299*R + 0.587*G + 0.114*B</x:v>
      </x:c>
    </x:row>
    <x:row r="10">
      <x:c r="A10" s="29" t="str">
        <x:v>Дисперсия</x:v>
      </x:c>
      <x:c r="B10" s="29" t="str">
        <x:v>Выборочная дисперсия по средним значениям блоков</x:v>
      </x:c>
    </x:row>
  </x:sheetData>
  <x:pageMargins left="0.7" right="0.7" top="0.75" bottom="0.75" header="0.3" footer="0.3"/>
</x:worksheet>
</file>